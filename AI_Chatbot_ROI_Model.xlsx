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st-Benefi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<sst xmlns="http://schemas.openxmlformats.org/spreadsheetml/2006/main" count="64" uniqueCount="64">
  <si>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AI Chatbot ROI Model — Manish Innovations</t>
  </si>
  <si>
    <t xml:space="preserve">All blue cells are editable inputs. Update with real figures once the chatbot has live usage data.</t>
  </si>
  <si>
    <t xml:space="preserve">Cost Assumptions</t>
  </si>
  <si>
    <t xml:space="preserve">Anthropic API cost per query ($)</t>
  </si>
  <si>
    <t xml:space="preserve">Approx. cost for a Claude Sonnet call at ~400 tokens; source: Anthropic API pricing page</t>
  </si>
  <si>
    <t xml:space="preserve">Hosting cost per month ($)</t>
  </si>
  <si>
    <t xml:space="preserve">Render starter web service tier</t>
  </si>
  <si>
    <t xml:space="preserve">Developer maintenance hours/month</t>
  </si>
  <si>
    <t xml:space="preserve">Estimated ongoing maintenance</t>
  </si>
  <si>
    <t xml:space="preserve">Developer hourly rate ($)</t>
  </si>
  <si>
    <t xml:space="preserve">Placeholder — update to actual freelance/market rate</t>
  </si>
  <si>
    <t xml:space="preserve">Volume Assumptions</t>
  </si>
  <si>
    <t xml:space="preserve">Estimated site visitors/month</t>
  </si>
  <si>
    <t xml:space="preserve">Placeholder — replace with real Google Analytics traffic once available</t>
  </si>
  <si>
    <t xml:space="preserve">% of visitors who open the chatbot</t>
  </si>
  <si>
    <t xml:space="preserve">Industry benchmark for embedded chat widgets is 5-12%</t>
  </si>
  <si>
    <t xml:space="preserve">Avg queries per chat session</t>
  </si>
  <si>
    <t xml:space="preserve">Estimated conversation length</t>
  </si>
  <si>
    <t xml:space="preserve">Human Support Comparison</t>
  </si>
  <si>
    <t xml:space="preserve">Avg time for human to answer 1 inquiry (min)</t>
  </si>
  <si>
    <t xml:space="preserve">Estimate for email/phone response</t>
  </si>
  <si>
    <t xml:space="preserve">Support staff hourly cost ($)</t>
  </si>
  <si>
    <t xml:space="preserve">Approx. loaded cost for support staff in this market</t>
  </si>
  <si>
    <t xml:space="preserve">Revenue Impact Assumptions</t>
  </si>
  <si>
    <t xml:space="preserve">Chatbot-assisted lead-to-inquiry conversion rate</t>
  </si>
  <si>
    <t xml:space="preserve">% of chatbot sessions that convert to a real sales inquiry — placeholder, validate with real data</t>
  </si>
  <si>
    <t xml:space="preserve">Avg order value per converted inquiry ($)</t>
  </si>
  <si>
    <t xml:space="preserve">Placeholder — replace with actual average export order value</t>
  </si>
  <si>
    <t xml:space="preserve">Sales close rate on inquiries (%)</t>
  </si>
  <si>
    <t xml:space="preserve">Placeholder — replace with actual historical close rate</t>
  </si>
  <si>
    <t xml:space="preserve">Monthly Cost-Benefit Analysis</t>
  </si>
  <si>
    <t xml:space="preserve">Metric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</si>
  <si>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</si>
  <si>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</si>
  <si>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</si>
  <si>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</si>
  <si>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</si>
  <si>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</si>
  <si>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</si>
  <si>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</si>
  <si>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</si>
  <si>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</si>
  <si>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</si>
  <si>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</si>
  <si>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Chatbot sessions</t>
  </si>
  <si>
    <t xml:space="preserve">Total queries</t>
  </si>
  <si>
    <t xml:space="preserve">API cost ($)</t>
  </si>
  <si>
    <t xml:space="preserve">Hosting cost ($)</t>
  </si>
  <si>
    <t xml:space="preserve">Maintenance cost ($)</t>
  </si>
  <si>
    <t xml:space="preserve">Total chatbot cost ($)</t>
  </si>
  <si>
    <t xml:space="preserve">Converted inquiries</t>
  </si>
  <si>
    <t xml:space="preserve">Closed deals</t>
  </si>
  <si>
    <t xml:space="preserve">Revenue generated ($)</t>
  </si>
  <si>
    <t xml:space="preserve">Human-support-equivalent cost avoided ($)</t>
  </si>
  <si>
    <t xml:space="preserve">Net benefit ($)</t>
  </si>
  <si>
    <t xml:space="preserve">ROI Summary</t>
  </si>
  <si>
    <t xml:space="preserve">Total annual chatbot cost ($)</t>
  </si>
  <si>
    <t xml:space="preserve">Total annual revenue impact ($)</t>
  </si>
  <si>
    <t xml:space="preserve">Total annual support cost avoided ($)</t>
  </si>
  <si>
    <t xml:space="preserve">Total annual net benefit ($)</t>
  </si>
  <si>
    <t xml:space="preserve">Return on investment (ROI %)</t>
  </si>
  <si>
    <t xml:space="preserve">Breakeven queries per month (approx.)</t>
  </si>
  <si>
    <t xml:space="preserve">Interpretation</t>
  </si>
  <si>
    <t xml:space="preserve">This model uses placeholder assumptions (blue/yellow cells in the Assumptions tab). Once the chatbot is live, replace visitor count, open rate, and conversion figures with real analytics data from the /analytics/summary endpoint, and this sheet recalculates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</si>
</sst>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;&quot;($&quot;#,##0\);\-"/>
    <numFmt numFmtId="167" formatCode="General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2E7D3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0.015</v>
      </c>
      <c r="C5" s="7" t="s">
        <v>4</v>
      </c>
    </row>
    <row r="6" customFormat="false" ht="15" hidden="false" customHeight="false" outlineLevel="0" collapsed="false">
      <c r="A6" s="5" t="s">
        <v>5</v>
      </c>
      <c r="B6" s="8" t="n">
        <v>7</v>
      </c>
      <c r="C6" s="7" t="s">
        <v>6</v>
      </c>
    </row>
    <row r="7" customFormat="false" ht="15" hidden="false" customHeight="false" outlineLevel="0" collapsed="false">
      <c r="A7" s="5" t="s">
        <v>7</v>
      </c>
      <c r="B7" s="9" t="n">
        <v>2</v>
      </c>
      <c r="C7" s="7" t="s">
        <v>8</v>
      </c>
    </row>
    <row r="8" customFormat="false" ht="15" hidden="false" customHeight="false" outlineLevel="0" collapsed="false">
      <c r="A8" s="5" t="s">
        <v>9</v>
      </c>
      <c r="B8" s="8" t="n">
        <v>15</v>
      </c>
      <c r="C8" s="7" t="s">
        <v>10</v>
      </c>
    </row>
    <row r="10" customFormat="false" ht="15" hidden="false" customHeight="false" outlineLevel="0" collapsed="false">
      <c r="A10" s="3" t="s">
        <v>11</v>
      </c>
      <c r="B10" s="4"/>
      <c r="C10" s="4"/>
    </row>
    <row r="11" customFormat="false" ht="15" hidden="false" customHeight="false" outlineLevel="0" collapsed="false">
      <c r="A11" s="5" t="s">
        <v>12</v>
      </c>
      <c r="B11" s="9" t="n">
        <v>2000</v>
      </c>
      <c r="C11" s="7" t="s">
        <v>13</v>
      </c>
    </row>
    <row r="12" customFormat="false" ht="15" hidden="false" customHeight="false" outlineLevel="0" collapsed="false">
      <c r="A12" s="5" t="s">
        <v>14</v>
      </c>
      <c r="B12" s="6" t="n">
        <v>0.08</v>
      </c>
      <c r="C12" s="7" t="s">
        <v>15</v>
      </c>
    </row>
    <row r="13" customFormat="false" ht="15" hidden="false" customHeight="false" outlineLevel="0" collapsed="false">
      <c r="A13" s="5" t="s">
        <v>16</v>
      </c>
      <c r="B13" s="9" t="n">
        <v>3</v>
      </c>
      <c r="C13" s="7" t="s">
        <v>17</v>
      </c>
    </row>
    <row r="15" customFormat="false" ht="15" hidden="false" customHeight="false" outlineLevel="0" collapsed="false">
      <c r="A15" s="3" t="s">
        <v>18</v>
      </c>
      <c r="B15" s="4"/>
      <c r="C15" s="4"/>
    </row>
    <row r="16" customFormat="false" ht="15" hidden="false" customHeight="false" outlineLevel="0" collapsed="false">
      <c r="A16" s="5" t="s">
        <v>19</v>
      </c>
      <c r="B16" s="9" t="n">
        <v>8</v>
      </c>
      <c r="C16" s="7" t="s">
        <v>20</v>
      </c>
    </row>
    <row r="17" customFormat="false" ht="15" hidden="false" customHeight="false" outlineLevel="0" collapsed="false">
      <c r="A17" s="5" t="s">
        <v>21</v>
      </c>
      <c r="B17" s="8" t="n">
        <v>6</v>
      </c>
      <c r="C17" s="7" t="s">
        <v>22</v>
      </c>
    </row>
    <row r="19" customFormat="false" ht="15" hidden="false" customHeight="false" outlineLevel="0" collapsed="false">
      <c r="A19" s="3" t="s">
        <v>23</v>
      </c>
      <c r="B19" s="4"/>
      <c r="C19" s="4"/>
    </row>
    <row r="20" customFormat="false" ht="15" hidden="false" customHeight="false" outlineLevel="0" collapsed="false">
      <c r="A20" s="5" t="s">
        <v>24</v>
      </c>
      <c r="B20" s="6" t="n">
        <v>0.05</v>
      </c>
      <c r="C20" s="7" t="s">
        <v>25</v>
      </c>
    </row>
    <row r="21" customFormat="false" ht="15" hidden="false" customHeight="false" outlineLevel="0" collapsed="false">
      <c r="A21" s="5" t="s">
        <v>26</v>
      </c>
      <c r="B21" s="8" t="n">
        <v>1200</v>
      </c>
      <c r="C21" s="7" t="s">
        <v>27</v>
      </c>
    </row>
    <row r="22" customFormat="false" ht="15" hidden="false" customHeight="false" outlineLevel="0" collapsed="false">
      <c r="A22" s="5" t="s">
        <v>28</v>
      </c>
      <c r="B22" s="6" t="n">
        <v>0.2</v>
      </c>
      <c r="C22" s="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3"/>
  </cols>
  <sheetData>
    <row r="1" customFormat="false" ht="17.35" hidden="false" customHeight="false" outlineLevel="0" collapsed="false">
      <c r="A1" s="1" t="s">
        <v>30</v>
      </c>
    </row>
    <row r="3" customFormat="false" ht="15" hidden="false" customHeight="false" outlineLevel="0" collapsed="false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</row>
    <row r="4" customFormat="false" ht="15" hidden="false" customHeight="false" outlineLevel="0" collapsed="false">
      <c r="A4" s="5" t="s">
        <v>44</v>
      </c>
      <c r="B4" s="10" t="n">
        <f aca="false">Assumptions!$B11*Assumptions!$B12</f>
        <v>160</v>
      </c>
      <c r="C4" s="10" t="n">
        <f aca="false">Assumptions!$B11*Assumptions!$B12</f>
        <v>160</v>
      </c>
      <c r="D4" s="10" t="n">
        <f aca="false">Assumptions!$B11*Assumptions!$B12</f>
        <v>160</v>
      </c>
      <c r="E4" s="10" t="n">
        <f aca="false">Assumptions!$B11*Assumptions!$B12</f>
        <v>160</v>
      </c>
      <c r="F4" s="10" t="n">
        <f aca="false">Assumptions!$B11*Assumptions!$B12</f>
        <v>160</v>
      </c>
      <c r="G4" s="10" t="n">
        <f aca="false">Assumptions!$B11*Assumptions!$B12</f>
        <v>160</v>
      </c>
      <c r="H4" s="10" t="n">
        <f aca="false">Assumptions!$B11*Assumptions!$B12</f>
        <v>160</v>
      </c>
      <c r="I4" s="10" t="n">
        <f aca="false">Assumptions!$B11*Assumptions!$B12</f>
        <v>160</v>
      </c>
      <c r="J4" s="10" t="n">
        <f aca="false">Assumptions!$B11*Assumptions!$B12</f>
        <v>160</v>
      </c>
      <c r="K4" s="10" t="n">
        <f aca="false">Assumptions!$B11*Assumptions!$B12</f>
        <v>160</v>
      </c>
      <c r="L4" s="10" t="n">
        <f aca="false">Assumptions!$B11*Assumptions!$B12</f>
        <v>160</v>
      </c>
      <c r="M4" s="10" t="n">
        <f aca="false">Assumptions!$B11*Assumptions!$B12</f>
        <v>160</v>
      </c>
    </row>
    <row r="5" customFormat="false" ht="15" hidden="false" customHeight="false" outlineLevel="0" collapsed="false">
      <c r="A5" s="5" t="s">
        <v>45</v>
      </c>
      <c r="B5" s="10" t="n">
        <f aca="false">B4*Assumptions!$B13</f>
        <v>480</v>
      </c>
      <c r="C5" s="10" t="n">
        <f aca="false">C4*Assumptions!$B13</f>
        <v>480</v>
      </c>
      <c r="D5" s="10" t="n">
        <f aca="false">D4*Assumptions!$B13</f>
        <v>480</v>
      </c>
      <c r="E5" s="10" t="n">
        <f aca="false">E4*Assumptions!$B13</f>
        <v>480</v>
      </c>
      <c r="F5" s="10" t="n">
        <f aca="false">F4*Assumptions!$B13</f>
        <v>480</v>
      </c>
      <c r="G5" s="10" t="n">
        <f aca="false">G4*Assumptions!$B13</f>
        <v>480</v>
      </c>
      <c r="H5" s="10" t="n">
        <f aca="false">H4*Assumptions!$B13</f>
        <v>480</v>
      </c>
      <c r="I5" s="10" t="n">
        <f aca="false">I4*Assumptions!$B13</f>
        <v>480</v>
      </c>
      <c r="J5" s="10" t="n">
        <f aca="false">J4*Assumptions!$B13</f>
        <v>480</v>
      </c>
      <c r="K5" s="10" t="n">
        <f aca="false">K4*Assumptions!$B13</f>
        <v>480</v>
      </c>
      <c r="L5" s="10" t="n">
        <f aca="false">L4*Assumptions!$B13</f>
        <v>480</v>
      </c>
      <c r="M5" s="10" t="n">
        <f aca="false">M4*Assumptions!$B13</f>
        <v>480</v>
      </c>
    </row>
    <row r="6" customFormat="false" ht="15" hidden="false" customHeight="false" outlineLevel="0" collapsed="false">
      <c r="A6" s="5" t="s">
        <v>46</v>
      </c>
      <c r="B6" s="11" t="n">
        <f aca="false">B5*Assumptions!$B5</f>
        <v>7.2</v>
      </c>
      <c r="C6" s="11" t="n">
        <f aca="false">C5*Assumptions!$B5</f>
        <v>7.2</v>
      </c>
      <c r="D6" s="11" t="n">
        <f aca="false">D5*Assumptions!$B5</f>
        <v>7.2</v>
      </c>
      <c r="E6" s="11" t="n">
        <f aca="false">E5*Assumptions!$B5</f>
        <v>7.2</v>
      </c>
      <c r="F6" s="11" t="n">
        <f aca="false">F5*Assumptions!$B5</f>
        <v>7.2</v>
      </c>
      <c r="G6" s="11" t="n">
        <f aca="false">G5*Assumptions!$B5</f>
        <v>7.2</v>
      </c>
      <c r="H6" s="11" t="n">
        <f aca="false">H5*Assumptions!$B5</f>
        <v>7.2</v>
      </c>
      <c r="I6" s="11" t="n">
        <f aca="false">I5*Assumptions!$B5</f>
        <v>7.2</v>
      </c>
      <c r="J6" s="11" t="n">
        <f aca="false">J5*Assumptions!$B5</f>
        <v>7.2</v>
      </c>
      <c r="K6" s="11" t="n">
        <f aca="false">K5*Assumptions!$B5</f>
        <v>7.2</v>
      </c>
      <c r="L6" s="11" t="n">
        <f aca="false">L5*Assumptions!$B5</f>
        <v>7.2</v>
      </c>
      <c r="M6" s="11" t="n">
        <f aca="false">M5*Assumptions!$B5</f>
        <v>7.2</v>
      </c>
    </row>
    <row r="7" customFormat="false" ht="15" hidden="false" customHeight="false" outlineLevel="0" collapsed="false">
      <c r="A7" s="5" t="s">
        <v>47</v>
      </c>
      <c r="B7" s="11" t="n">
        <f aca="false">Assumptions!$B6</f>
        <v>7</v>
      </c>
      <c r="C7" s="11" t="n">
        <f aca="false">Assumptions!$B6</f>
        <v>7</v>
      </c>
      <c r="D7" s="11" t="n">
        <f aca="false">Assumptions!$B6</f>
        <v>7</v>
      </c>
      <c r="E7" s="11" t="n">
        <f aca="false">Assumptions!$B6</f>
        <v>7</v>
      </c>
      <c r="F7" s="11" t="n">
        <f aca="false">Assumptions!$B6</f>
        <v>7</v>
      </c>
      <c r="G7" s="11" t="n">
        <f aca="false">Assumptions!$B6</f>
        <v>7</v>
      </c>
      <c r="H7" s="11" t="n">
        <f aca="false">Assumptions!$B6</f>
        <v>7</v>
      </c>
      <c r="I7" s="11" t="n">
        <f aca="false">Assumptions!$B6</f>
        <v>7</v>
      </c>
      <c r="J7" s="11" t="n">
        <f aca="false">Assumptions!$B6</f>
        <v>7</v>
      </c>
      <c r="K7" s="11" t="n">
        <f aca="false">Assumptions!$B6</f>
        <v>7</v>
      </c>
      <c r="L7" s="11" t="n">
        <f aca="false">Assumptions!$B6</f>
        <v>7</v>
      </c>
      <c r="M7" s="11" t="n">
        <f aca="false">Assumptions!$B6</f>
        <v>7</v>
      </c>
    </row>
    <row r="8" customFormat="false" ht="15" hidden="false" customHeight="false" outlineLevel="0" collapsed="false">
      <c r="A8" s="5" t="s">
        <v>48</v>
      </c>
      <c r="B8" s="11" t="n">
        <f aca="false">Assumptions!$B7*Assumptions!$B8</f>
        <v>30</v>
      </c>
      <c r="C8" s="11" t="n">
        <f aca="false">Assumptions!$B7*Assumptions!$B8</f>
        <v>30</v>
      </c>
      <c r="D8" s="11" t="n">
        <f aca="false">Assumptions!$B7*Assumptions!$B8</f>
        <v>30</v>
      </c>
      <c r="E8" s="11" t="n">
        <f aca="false">Assumptions!$B7*Assumptions!$B8</f>
        <v>30</v>
      </c>
      <c r="F8" s="11" t="n">
        <f aca="false">Assumptions!$B7*Assumptions!$B8</f>
        <v>30</v>
      </c>
      <c r="G8" s="11" t="n">
        <f aca="false">Assumptions!$B7*Assumptions!$B8</f>
        <v>30</v>
      </c>
      <c r="H8" s="11" t="n">
        <f aca="false">Assumptions!$B7*Assumptions!$B8</f>
        <v>30</v>
      </c>
      <c r="I8" s="11" t="n">
        <f aca="false">Assumptions!$B7*Assumptions!$B8</f>
        <v>30</v>
      </c>
      <c r="J8" s="11" t="n">
        <f aca="false">Assumptions!$B7*Assumptions!$B8</f>
        <v>30</v>
      </c>
      <c r="K8" s="11" t="n">
        <f aca="false">Assumptions!$B7*Assumptions!$B8</f>
        <v>30</v>
      </c>
      <c r="L8" s="11" t="n">
        <f aca="false">Assumptions!$B7*Assumptions!$B8</f>
        <v>30</v>
      </c>
      <c r="M8" s="11" t="n">
        <f aca="false">Assumptions!$B7*Assumptions!$B8</f>
        <v>30</v>
      </c>
    </row>
    <row r="9" customFormat="false" ht="15" hidden="false" customHeight="false" outlineLevel="0" collapsed="false">
      <c r="A9" s="5" t="s">
        <v>49</v>
      </c>
      <c r="B9" s="12" t="n">
        <f aca="false">SUM(B6:B8)</f>
        <v>44.2</v>
      </c>
      <c r="C9" s="12" t="n">
        <f aca="false">SUM(C6:C8)</f>
        <v>44.2</v>
      </c>
      <c r="D9" s="12" t="n">
        <f aca="false">SUM(D6:D8)</f>
        <v>44.2</v>
      </c>
      <c r="E9" s="12" t="n">
        <f aca="false">SUM(E6:E8)</f>
        <v>44.2</v>
      </c>
      <c r="F9" s="12" t="n">
        <f aca="false">SUM(F6:F8)</f>
        <v>44.2</v>
      </c>
      <c r="G9" s="12" t="n">
        <f aca="false">SUM(G6:G8)</f>
        <v>44.2</v>
      </c>
      <c r="H9" s="12" t="n">
        <f aca="false">SUM(H6:H8)</f>
        <v>44.2</v>
      </c>
      <c r="I9" s="12" t="n">
        <f aca="false">SUM(I6:I8)</f>
        <v>44.2</v>
      </c>
      <c r="J9" s="12" t="n">
        <f aca="false">SUM(J6:J8)</f>
        <v>44.2</v>
      </c>
      <c r="K9" s="12" t="n">
        <f aca="false">SUM(K6:K8)</f>
        <v>44.2</v>
      </c>
      <c r="L9" s="12" t="n">
        <f aca="false">SUM(L6:L8)</f>
        <v>44.2</v>
      </c>
      <c r="M9" s="12" t="n">
        <f aca="false">SUM(M6:M8)</f>
        <v>44.2</v>
      </c>
    </row>
    <row r="10" customFormat="false" ht="15" hidden="false" customHeight="false" outlineLevel="0" collapsed="false">
      <c r="A10" s="5" t="s">
        <v>50</v>
      </c>
      <c r="B10" s="10" t="n">
        <f aca="false">B4*Assumptions!$B20</f>
        <v>8</v>
      </c>
      <c r="C10" s="10" t="n">
        <f aca="false">C4*Assumptions!$B20</f>
        <v>8</v>
      </c>
      <c r="D10" s="10" t="n">
        <f aca="false">D4*Assumptions!$B20</f>
        <v>8</v>
      </c>
      <c r="E10" s="10" t="n">
        <f aca="false">E4*Assumptions!$B20</f>
        <v>8</v>
      </c>
      <c r="F10" s="10" t="n">
        <f aca="false">F4*Assumptions!$B20</f>
        <v>8</v>
      </c>
      <c r="G10" s="10" t="n">
        <f aca="false">G4*Assumptions!$B20</f>
        <v>8</v>
      </c>
      <c r="H10" s="10" t="n">
        <f aca="false">H4*Assumptions!$B20</f>
        <v>8</v>
      </c>
      <c r="I10" s="10" t="n">
        <f aca="false">I4*Assumptions!$B20</f>
        <v>8</v>
      </c>
      <c r="J10" s="10" t="n">
        <f aca="false">J4*Assumptions!$B20</f>
        <v>8</v>
      </c>
      <c r="K10" s="10" t="n">
        <f aca="false">K4*Assumptions!$B20</f>
        <v>8</v>
      </c>
      <c r="L10" s="10" t="n">
        <f aca="false">L4*Assumptions!$B20</f>
        <v>8</v>
      </c>
      <c r="M10" s="10" t="n">
        <f aca="false">M4*Assumptions!$B20</f>
        <v>8</v>
      </c>
    </row>
    <row r="11" customFormat="false" ht="15" hidden="false" customHeight="false" outlineLevel="0" collapsed="false">
      <c r="A11" s="5" t="s">
        <v>51</v>
      </c>
      <c r="B11" s="10" t="n">
        <f aca="false">B10*Assumptions!$B22</f>
        <v>1.6</v>
      </c>
      <c r="C11" s="10" t="n">
        <f aca="false">C10*Assumptions!$B22</f>
        <v>1.6</v>
      </c>
      <c r="D11" s="10" t="n">
        <f aca="false">D10*Assumptions!$B22</f>
        <v>1.6</v>
      </c>
      <c r="E11" s="10" t="n">
        <f aca="false">E10*Assumptions!$B22</f>
        <v>1.6</v>
      </c>
      <c r="F11" s="10" t="n">
        <f aca="false">F10*Assumptions!$B22</f>
        <v>1.6</v>
      </c>
      <c r="G11" s="10" t="n">
        <f aca="false">G10*Assumptions!$B22</f>
        <v>1.6</v>
      </c>
      <c r="H11" s="10" t="n">
        <f aca="false">H10*Assumptions!$B22</f>
        <v>1.6</v>
      </c>
      <c r="I11" s="10" t="n">
        <f aca="false">I10*Assumptions!$B22</f>
        <v>1.6</v>
      </c>
      <c r="J11" s="10" t="n">
        <f aca="false">J10*Assumptions!$B22</f>
        <v>1.6</v>
      </c>
      <c r="K11" s="10" t="n">
        <f aca="false">K10*Assumptions!$B22</f>
        <v>1.6</v>
      </c>
      <c r="L11" s="10" t="n">
        <f aca="false">L10*Assumptions!$B22</f>
        <v>1.6</v>
      </c>
      <c r="M11" s="10" t="n">
        <f aca="false">M10*Assumptions!$B22</f>
        <v>1.6</v>
      </c>
    </row>
    <row r="12" customFormat="false" ht="15" hidden="false" customHeight="false" outlineLevel="0" collapsed="false">
      <c r="A12" s="5" t="s">
        <v>52</v>
      </c>
      <c r="B12" s="11" t="n">
        <f aca="false">B11*Assumptions!$B21</f>
        <v>1920</v>
      </c>
      <c r="C12" s="11" t="n">
        <f aca="false">C11*Assumptions!$B21</f>
        <v>1920</v>
      </c>
      <c r="D12" s="11" t="n">
        <f aca="false">D11*Assumptions!$B21</f>
        <v>1920</v>
      </c>
      <c r="E12" s="11" t="n">
        <f aca="false">E11*Assumptions!$B21</f>
        <v>1920</v>
      </c>
      <c r="F12" s="11" t="n">
        <f aca="false">F11*Assumptions!$B21</f>
        <v>1920</v>
      </c>
      <c r="G12" s="11" t="n">
        <f aca="false">G11*Assumptions!$B21</f>
        <v>1920</v>
      </c>
      <c r="H12" s="11" t="n">
        <f aca="false">H11*Assumptions!$B21</f>
        <v>1920</v>
      </c>
      <c r="I12" s="11" t="n">
        <f aca="false">I11*Assumptions!$B21</f>
        <v>1920</v>
      </c>
      <c r="J12" s="11" t="n">
        <f aca="false">J11*Assumptions!$B21</f>
        <v>1920</v>
      </c>
      <c r="K12" s="11" t="n">
        <f aca="false">K11*Assumptions!$B21</f>
        <v>1920</v>
      </c>
      <c r="L12" s="11" t="n">
        <f aca="false">L11*Assumptions!$B21</f>
        <v>1920</v>
      </c>
      <c r="M12" s="11" t="n">
        <f aca="false">M11*Assumptions!$B21</f>
        <v>1920</v>
      </c>
    </row>
    <row r="13" customFormat="false" ht="15" hidden="false" customHeight="false" outlineLevel="0" collapsed="false">
      <c r="A13" s="5" t="s">
        <v>53</v>
      </c>
      <c r="B13" s="11" t="n">
        <f aca="false">(B5*Assumptions!$B16/60)*Assumptions!$B17</f>
        <v>384</v>
      </c>
      <c r="C13" s="11" t="n">
        <f aca="false">(C5*Assumptions!$B16/60)*Assumptions!$B17</f>
        <v>384</v>
      </c>
      <c r="D13" s="11" t="n">
        <f aca="false">(D5*Assumptions!$B16/60)*Assumptions!$B17</f>
        <v>384</v>
      </c>
      <c r="E13" s="11" t="n">
        <f aca="false">(E5*Assumptions!$B16/60)*Assumptions!$B17</f>
        <v>384</v>
      </c>
      <c r="F13" s="11" t="n">
        <f aca="false">(F5*Assumptions!$B16/60)*Assumptions!$B17</f>
        <v>384</v>
      </c>
      <c r="G13" s="11" t="n">
        <f aca="false">(G5*Assumptions!$B16/60)*Assumptions!$B17</f>
        <v>384</v>
      </c>
      <c r="H13" s="11" t="n">
        <f aca="false">(H5*Assumptions!$B16/60)*Assumptions!$B17</f>
        <v>384</v>
      </c>
      <c r="I13" s="11" t="n">
        <f aca="false">(I5*Assumptions!$B16/60)*Assumptions!$B17</f>
        <v>384</v>
      </c>
      <c r="J13" s="11" t="n">
        <f aca="false">(J5*Assumptions!$B16/60)*Assumptions!$B17</f>
        <v>384</v>
      </c>
      <c r="K13" s="11" t="n">
        <f aca="false">(K5*Assumptions!$B16/60)*Assumptions!$B17</f>
        <v>384</v>
      </c>
      <c r="L13" s="11" t="n">
        <f aca="false">(L5*Assumptions!$B16/60)*Assumptions!$B17</f>
        <v>384</v>
      </c>
      <c r="M13" s="11" t="n">
        <f aca="false">(M5*Assumptions!$B16/60)*Assumptions!$B17</f>
        <v>384</v>
      </c>
    </row>
    <row r="14" customFormat="false" ht="15" hidden="false" customHeight="false" outlineLevel="0" collapsed="false">
      <c r="A14" s="5" t="s">
        <v>54</v>
      </c>
      <c r="B14" s="13" t="n">
        <f aca="false">(B12+B13)-B9</f>
        <v>2259.8</v>
      </c>
      <c r="C14" s="13" t="n">
        <f aca="false">(C12+C13)-C9</f>
        <v>2259.8</v>
      </c>
      <c r="D14" s="13" t="n">
        <f aca="false">(D12+D13)-D9</f>
        <v>2259.8</v>
      </c>
      <c r="E14" s="13" t="n">
        <f aca="false">(E12+E13)-E9</f>
        <v>2259.8</v>
      </c>
      <c r="F14" s="13" t="n">
        <f aca="false">(F12+F13)-F9</f>
        <v>2259.8</v>
      </c>
      <c r="G14" s="13" t="n">
        <f aca="false">(G12+G13)-G9</f>
        <v>2259.8</v>
      </c>
      <c r="H14" s="13" t="n">
        <f aca="false">(H12+H13)-H9</f>
        <v>2259.8</v>
      </c>
      <c r="I14" s="13" t="n">
        <f aca="false">(I12+I13)-I9</f>
        <v>2259.8</v>
      </c>
      <c r="J14" s="13" t="n">
        <f aca="false">(J12+J13)-J9</f>
        <v>2259.8</v>
      </c>
      <c r="K14" s="13" t="n">
        <f aca="false">(K12+K13)-K9</f>
        <v>2259.8</v>
      </c>
      <c r="L14" s="13" t="n">
        <f aca="false">(L12+L13)-L9</f>
        <v>2259.8</v>
      </c>
      <c r="M14" s="13" t="n">
        <f aca="false">(M12+M13)-M9</f>
        <v>2259.8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55</v>
      </c>
    </row>
    <row r="3" customFormat="false" ht="15" hidden="false" customHeight="false" outlineLevel="0" collapsed="false">
      <c r="A3" s="5" t="s">
        <v>56</v>
      </c>
      <c r="B3" s="13" t="n">
        <f aca="false">'Cost-Benefit'!B9*12</f>
        <v>530.4</v>
      </c>
    </row>
    <row r="4" customFormat="false" ht="15" hidden="false" customHeight="false" outlineLevel="0" collapsed="false">
      <c r="A4" s="5" t="s">
        <v>57</v>
      </c>
      <c r="B4" s="13" t="n">
        <f aca="false">'Cost-Benefit'!B12*12</f>
        <v>23040</v>
      </c>
    </row>
    <row r="5" customFormat="false" ht="15" hidden="false" customHeight="false" outlineLevel="0" collapsed="false">
      <c r="A5" s="5" t="s">
        <v>58</v>
      </c>
      <c r="B5" s="13" t="n">
        <f aca="false">'Cost-Benefit'!B13*12</f>
        <v>4608</v>
      </c>
    </row>
    <row r="6" customFormat="false" ht="15" hidden="false" customHeight="false" outlineLevel="0" collapsed="false">
      <c r="A6" s="5" t="s">
        <v>59</v>
      </c>
      <c r="B6" s="13" t="n">
        <f aca="false">B4+B5-B3</f>
        <v>27117.6</v>
      </c>
    </row>
    <row r="7" customFormat="false" ht="15" hidden="false" customHeight="false" outlineLevel="0" collapsed="false">
      <c r="A7" s="5" t="s">
        <v>60</v>
      </c>
      <c r="B7" s="14" t="n">
        <f aca="false">(B4+B5-B3)/B3</f>
        <v>51.1266968325792</v>
      </c>
    </row>
    <row r="8" customFormat="false" ht="15" hidden="false" customHeight="false" outlineLevel="0" collapsed="false">
      <c r="A8" s="5" t="s">
        <v>61</v>
      </c>
      <c r="B8" s="15" t="n">
        <f aca="false">'Cost-Benefit'!B7/(Assumptions!B21*Assumptions!B20*Assumptions!B22/'Cost-Benefit'!B5)</f>
        <v>280</v>
      </c>
    </row>
    <row r="10" customFormat="false" ht="15" hidden="false" customHeight="false" outlineLevel="0" collapsed="false">
      <c r="A10" s="3" t="s">
        <v>62</v>
      </c>
      <c r="B10" s="4"/>
      <c r="C10" s="4"/>
    </row>
    <row r="11" customFormat="false" ht="60" hidden="false" customHeight="true" outlineLevel="0" collapsed="false">
      <c r="A11" s="16" t="s">
        <v>63</v>
      </c>
      <c r="B11" s="16"/>
      <c r="C11" s="16"/>
    </row>
    <row r="12" customFormat="false" ht="15" hidden="false" customHeight="false" outlineLevel="0" collapsed="false">
      <c r="A12" s="16"/>
      <c r="B12" s="16"/>
      <c r="C12" s="16"/>
    </row>
    <row r="13" customFormat="false" ht="15" hidden="false" customHeight="false" outlineLevel="0" collapsed="false">
      <c r="A13" s="16"/>
      <c r="B13" s="16"/>
      <c r="C13" s="16"/>
    </row>
  </sheetData>
  <mergeCells count="1">
    <mergeCell ref="A11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2026-09-03T19:17:26Z</dcterms:created>
  <dc:creator>openpyxl</dc:creator>
  <dc:description/>
  <dc:language>en-US</dc:language>
  <cp:lastModifiedBy/>
  <dcterms:modified xsi:type="dcterms:W3CDTF">2026-09-03T19:17:26Z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